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uter class\"/>
    </mc:Choice>
  </mc:AlternateContent>
  <xr:revisionPtr revIDLastSave="0" documentId="8_{4C015B93-F8D0-4B53-9A47-A8FA2BEF333A}" xr6:coauthVersionLast="47" xr6:coauthVersionMax="47" xr10:uidLastSave="{00000000-0000-0000-0000-000000000000}"/>
  <bookViews>
    <workbookView xWindow="-120" yWindow="-120" windowWidth="20730" windowHeight="11160" xr2:uid="{CD0D973A-48D7-4B81-90F1-D399EB424B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5" i="1"/>
  <c r="J6" i="1"/>
  <c r="J7" i="1"/>
  <c r="J8" i="1"/>
  <c r="J9" i="1"/>
  <c r="J10" i="1"/>
  <c r="J11" i="1"/>
  <c r="J12" i="1"/>
  <c r="J4" i="1"/>
  <c r="J3" i="1"/>
  <c r="I4" i="1"/>
  <c r="I5" i="1"/>
  <c r="I6" i="1"/>
  <c r="I7" i="1"/>
  <c r="I8" i="1"/>
  <c r="I9" i="1"/>
  <c r="I10" i="1"/>
  <c r="I11" i="1"/>
  <c r="I12" i="1"/>
  <c r="I3" i="1"/>
</calcChain>
</file>

<file path=xl/sharedStrings.xml><?xml version="1.0" encoding="utf-8"?>
<sst xmlns="http://schemas.openxmlformats.org/spreadsheetml/2006/main" count="24" uniqueCount="23">
  <si>
    <t>SL No</t>
  </si>
  <si>
    <t>Name</t>
  </si>
  <si>
    <t>Bangla</t>
  </si>
  <si>
    <t>English</t>
  </si>
  <si>
    <t>Math</t>
  </si>
  <si>
    <t>ICT</t>
  </si>
  <si>
    <t>Physics</t>
  </si>
  <si>
    <t>Chemistry</t>
  </si>
  <si>
    <t>Total</t>
  </si>
  <si>
    <t>Average(%)</t>
  </si>
  <si>
    <t>Grade</t>
  </si>
  <si>
    <t>Result Sheet</t>
  </si>
  <si>
    <t>Nahid</t>
  </si>
  <si>
    <t>Sakib</t>
  </si>
  <si>
    <t>Tamim</t>
  </si>
  <si>
    <t>Sajib</t>
  </si>
  <si>
    <t>Habib</t>
  </si>
  <si>
    <t>Tania</t>
  </si>
  <si>
    <t>Nupur</t>
  </si>
  <si>
    <t>Mehedi</t>
  </si>
  <si>
    <t>Sujon</t>
  </si>
  <si>
    <t>Stutas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</si>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</sst>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D1F7-25B9-4793-89C1-C1E8C951E7D9}">
  <dimension ref="A1:M12"/>
  <sheetViews>
    <sheetView tabSelected="1" workbookViewId="0">
      <selection activeCell="N4" sqref="N4"/>
    </sheetView>
  </sheetViews>
  <sheetFormatPr defaultRowHeight="15" x14ac:dyDescent="0.25"/>
  <cols>
    <col min="2" max="2" width="18.5703125" customWidth="1"/>
    <col min="8" max="8" width="11.42578125" customWidth="1"/>
    <col min="10" max="10" width="11.85546875" customWidth="1"/>
  </cols>
  <sheetData>
    <row r="1" spans="1:13" ht="28.5" customHeight="1" x14ac:dyDescent="0.4">
      <c r="A1" s="6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5" t="s">
        <v>21</v>
      </c>
      <c r="M2" s="5" t="s">
        <v>22</v>
      </c>
    </row>
    <row r="3" spans="1:13" x14ac:dyDescent="0.25">
      <c r="A3" s="2">
        <v>1</v>
      </c>
      <c r="B3" s="2" t="s">
        <v>12</v>
      </c>
      <c r="C3" s="2">
        <v>67</v>
      </c>
      <c r="D3" s="2">
        <v>72</v>
      </c>
      <c r="E3" s="2">
        <v>79</v>
      </c>
      <c r="F3" s="2">
        <v>77</v>
      </c>
      <c r="G3" s="2">
        <v>80</v>
      </c>
      <c r="H3" s="2">
        <v>75</v>
      </c>
      <c r="I3" s="2">
        <f>SUM(C3:H3)</f>
        <v>450</v>
      </c>
      <c r="J3" s="2">
        <f>AVERAGE(C3:H3)</f>
        <v>75</v>
      </c>
      <c r="K3" s="2" t="str">
        <f>IF(J3&gt;=80,"A+",IF(J3&gt;=70,"A",IF(J3&gt;=60,"A-",IF(J3&gt;=50,"B",IF(J3&gt;=40,"C",IF(J3&gt;=33,"D","Fail"))))))</f>
        <v>A</v>
      </c>
      <c r="L3" s="1" t="str">
        <f>IF(J3&gt;=33,"pass","Fail")</f>
        <v>pass</v>
      </c>
      <c r="M3" s="1">
        <f>RANK(I3,$I$2:$I$12)</f>
        <v>2</v>
      </c>
    </row>
    <row r="4" spans="1:13" x14ac:dyDescent="0.25">
      <c r="A4" s="2">
        <v>2</v>
      </c>
      <c r="B4" s="2" t="s">
        <v>13</v>
      </c>
      <c r="C4" s="2">
        <v>35</v>
      </c>
      <c r="D4" s="2">
        <v>65</v>
      </c>
      <c r="E4" s="2">
        <v>54</v>
      </c>
      <c r="F4" s="2">
        <v>88</v>
      </c>
      <c r="G4" s="2">
        <v>75</v>
      </c>
      <c r="H4" s="2">
        <v>48</v>
      </c>
      <c r="I4" s="2">
        <f t="shared" ref="I4:I12" si="0">SUM(C4:H4)</f>
        <v>365</v>
      </c>
      <c r="J4" s="4">
        <f t="shared" ref="J4:J12" si="1">AVERAGE(C4:H4)</f>
        <v>60.833333333333336</v>
      </c>
      <c r="K4" s="2" t="str">
        <f t="shared" ref="K4:K12" si="2">IF(J4&gt;=80,"A+",IF(J4&gt;=70,"A",IF(J4&gt;=60,"A-",IF(J4&gt;=50,"B",IF(J4&gt;=40,"C",IF(J4&gt;=33,"D","Fail"))))))</f>
        <v>A-</v>
      </c>
      <c r="L4" s="1" t="str">
        <f t="shared" ref="L4:L12" si="3">IF(J4&gt;=33,"pass","Fail")</f>
        <v>pass</v>
      </c>
      <c r="M4" s="1">
        <f t="shared" ref="M4:M12" si="4">RANK(I4,$I$2:$I$12)</f>
        <v>8</v>
      </c>
    </row>
    <row r="5" spans="1:13" x14ac:dyDescent="0.25">
      <c r="A5" s="2">
        <v>3</v>
      </c>
      <c r="B5" s="2" t="s">
        <v>14</v>
      </c>
      <c r="C5" s="2">
        <v>45</v>
      </c>
      <c r="D5" s="2">
        <v>82</v>
      </c>
      <c r="E5" s="2">
        <v>67</v>
      </c>
      <c r="F5" s="2">
        <v>90</v>
      </c>
      <c r="G5" s="2">
        <v>67</v>
      </c>
      <c r="H5" s="2">
        <v>39</v>
      </c>
      <c r="I5" s="2">
        <f t="shared" si="0"/>
        <v>390</v>
      </c>
      <c r="J5" s="4">
        <f t="shared" si="1"/>
        <v>65</v>
      </c>
      <c r="K5" s="2" t="str">
        <f t="shared" si="2"/>
        <v>A-</v>
      </c>
      <c r="L5" s="1" t="str">
        <f t="shared" si="3"/>
        <v>pass</v>
      </c>
      <c r="M5" s="1">
        <f t="shared" si="4"/>
        <v>7</v>
      </c>
    </row>
    <row r="6" spans="1:13" x14ac:dyDescent="0.25">
      <c r="A6" s="2">
        <v>4</v>
      </c>
      <c r="B6" s="2" t="s">
        <v>13</v>
      </c>
      <c r="C6" s="2">
        <v>80</v>
      </c>
      <c r="D6" s="2">
        <v>82</v>
      </c>
      <c r="E6" s="2">
        <v>89</v>
      </c>
      <c r="F6" s="2">
        <v>86</v>
      </c>
      <c r="G6" s="2">
        <v>90</v>
      </c>
      <c r="H6" s="2">
        <v>82</v>
      </c>
      <c r="I6" s="2">
        <f t="shared" si="0"/>
        <v>509</v>
      </c>
      <c r="J6" s="4">
        <f t="shared" si="1"/>
        <v>84.833333333333329</v>
      </c>
      <c r="K6" s="2" t="str">
        <f t="shared" si="2"/>
        <v>A+</v>
      </c>
      <c r="L6" s="1" t="str">
        <f t="shared" si="3"/>
        <v>pass</v>
      </c>
      <c r="M6" s="1">
        <f t="shared" si="4"/>
        <v>1</v>
      </c>
    </row>
    <row r="7" spans="1:13" x14ac:dyDescent="0.25">
      <c r="A7" s="2">
        <v>5</v>
      </c>
      <c r="B7" s="2" t="s">
        <v>15</v>
      </c>
      <c r="C7" s="2">
        <v>67</v>
      </c>
      <c r="D7" s="2">
        <v>79</v>
      </c>
      <c r="E7" s="2">
        <v>54</v>
      </c>
      <c r="F7" s="2">
        <v>46</v>
      </c>
      <c r="G7" s="2">
        <v>80</v>
      </c>
      <c r="H7" s="2">
        <v>80</v>
      </c>
      <c r="I7" s="2">
        <f t="shared" si="0"/>
        <v>406</v>
      </c>
      <c r="J7" s="4">
        <f t="shared" si="1"/>
        <v>67.666666666666671</v>
      </c>
      <c r="K7" s="2" t="str">
        <f t="shared" si="2"/>
        <v>A-</v>
      </c>
      <c r="L7" s="1" t="str">
        <f t="shared" si="3"/>
        <v>pass</v>
      </c>
      <c r="M7" s="1">
        <f t="shared" si="4"/>
        <v>6</v>
      </c>
    </row>
    <row r="8" spans="1:13" x14ac:dyDescent="0.25">
      <c r="A8" s="2">
        <v>6</v>
      </c>
      <c r="B8" s="2" t="s">
        <v>16</v>
      </c>
      <c r="C8" s="2">
        <v>60</v>
      </c>
      <c r="D8" s="2">
        <v>52</v>
      </c>
      <c r="E8" s="2">
        <v>90</v>
      </c>
      <c r="F8" s="2">
        <v>88</v>
      </c>
      <c r="G8" s="2">
        <v>53</v>
      </c>
      <c r="H8" s="2">
        <v>67</v>
      </c>
      <c r="I8" s="2">
        <f t="shared" si="0"/>
        <v>410</v>
      </c>
      <c r="J8" s="4">
        <f t="shared" si="1"/>
        <v>68.333333333333329</v>
      </c>
      <c r="K8" s="2" t="str">
        <f t="shared" si="2"/>
        <v>A-</v>
      </c>
      <c r="L8" s="1" t="str">
        <f t="shared" si="3"/>
        <v>pass</v>
      </c>
      <c r="M8" s="1">
        <f t="shared" si="4"/>
        <v>5</v>
      </c>
    </row>
    <row r="9" spans="1:13" x14ac:dyDescent="0.25">
      <c r="A9" s="2">
        <v>7</v>
      </c>
      <c r="B9" s="2" t="s">
        <v>17</v>
      </c>
      <c r="C9" s="2">
        <v>80</v>
      </c>
      <c r="D9" s="2">
        <v>75</v>
      </c>
      <c r="E9" s="2">
        <v>78</v>
      </c>
      <c r="F9" s="2">
        <v>76</v>
      </c>
      <c r="G9" s="2">
        <v>78</v>
      </c>
      <c r="H9" s="2">
        <v>60</v>
      </c>
      <c r="I9" s="2">
        <f t="shared" si="0"/>
        <v>447</v>
      </c>
      <c r="J9" s="4">
        <f t="shared" si="1"/>
        <v>74.5</v>
      </c>
      <c r="K9" s="2" t="str">
        <f t="shared" si="2"/>
        <v>A</v>
      </c>
      <c r="L9" s="1" t="str">
        <f t="shared" si="3"/>
        <v>pass</v>
      </c>
      <c r="M9" s="1">
        <f t="shared" si="4"/>
        <v>3</v>
      </c>
    </row>
    <row r="10" spans="1:13" x14ac:dyDescent="0.25">
      <c r="A10" s="2">
        <v>8</v>
      </c>
      <c r="B10" s="2" t="s">
        <v>18</v>
      </c>
      <c r="C10" s="2">
        <v>53</v>
      </c>
      <c r="D10" s="2">
        <v>75</v>
      </c>
      <c r="E10" s="2">
        <v>69</v>
      </c>
      <c r="F10" s="2">
        <v>78</v>
      </c>
      <c r="G10" s="2">
        <v>53</v>
      </c>
      <c r="H10" s="2">
        <v>87</v>
      </c>
      <c r="I10" s="2">
        <f t="shared" si="0"/>
        <v>415</v>
      </c>
      <c r="J10" s="4">
        <f t="shared" si="1"/>
        <v>69.166666666666671</v>
      </c>
      <c r="K10" s="2" t="str">
        <f t="shared" si="2"/>
        <v>A-</v>
      </c>
      <c r="L10" s="1" t="str">
        <f t="shared" si="3"/>
        <v>pass</v>
      </c>
      <c r="M10" s="1">
        <f t="shared" si="4"/>
        <v>4</v>
      </c>
    </row>
    <row r="11" spans="1:13" x14ac:dyDescent="0.25">
      <c r="A11" s="2">
        <v>9</v>
      </c>
      <c r="B11" s="2" t="s">
        <v>19</v>
      </c>
      <c r="C11" s="2">
        <v>45</v>
      </c>
      <c r="D11" s="2">
        <v>39</v>
      </c>
      <c r="E11" s="2">
        <v>88</v>
      </c>
      <c r="F11" s="2">
        <v>56</v>
      </c>
      <c r="G11" s="2">
        <v>46</v>
      </c>
      <c r="H11" s="2">
        <v>76</v>
      </c>
      <c r="I11" s="2">
        <f t="shared" si="0"/>
        <v>350</v>
      </c>
      <c r="J11" s="4">
        <f t="shared" si="1"/>
        <v>58.333333333333336</v>
      </c>
      <c r="K11" s="2" t="str">
        <f t="shared" si="2"/>
        <v>B</v>
      </c>
      <c r="L11" s="1" t="str">
        <f t="shared" si="3"/>
        <v>pass</v>
      </c>
      <c r="M11" s="1">
        <f t="shared" si="4"/>
        <v>9</v>
      </c>
    </row>
    <row r="12" spans="1:13" x14ac:dyDescent="0.25">
      <c r="A12" s="2">
        <v>10</v>
      </c>
      <c r="B12" s="2" t="s">
        <v>20</v>
      </c>
      <c r="C12" s="2">
        <v>35</v>
      </c>
      <c r="D12" s="2">
        <v>41</v>
      </c>
      <c r="E12" s="2">
        <v>54</v>
      </c>
      <c r="F12" s="2">
        <v>70</v>
      </c>
      <c r="G12" s="2">
        <v>66</v>
      </c>
      <c r="H12" s="2">
        <v>66</v>
      </c>
      <c r="I12" s="2">
        <f t="shared" si="0"/>
        <v>332</v>
      </c>
      <c r="J12" s="4">
        <f t="shared" si="1"/>
        <v>55.333333333333336</v>
      </c>
      <c r="K12" s="2" t="str">
        <f t="shared" si="2"/>
        <v>B</v>
      </c>
      <c r="L12" s="1" t="str">
        <f t="shared" si="3"/>
        <v>pass</v>
      </c>
      <c r="M12" s="1">
        <f t="shared" si="4"/>
        <v>10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2025-02-04T12:31:06Z</dcterms:created>
  <dcterms:modified xsi:type="dcterms:W3CDTF">2025-02-04T13:15:38Z</dcterms:modified>
</cp:coreProperties>
</file>